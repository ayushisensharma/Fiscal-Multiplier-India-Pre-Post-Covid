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i Sensharma\Documents\"/>
    </mc:Choice>
  </mc:AlternateContent>
  <xr:revisionPtr revIDLastSave="0" documentId="13_ncr:1_{4991FE5C-8CF7-4AE5-9044-45D1F9BEF5FB}" xr6:coauthVersionLast="47" xr6:coauthVersionMax="47" xr10:uidLastSave="{00000000-0000-0000-0000-000000000000}"/>
  <bookViews>
    <workbookView xWindow="-108" yWindow="-108" windowWidth="23256" windowHeight="12456" activeTab="2" xr2:uid="{7DF75F89-1310-4ECA-A948-3A99FE4EB978}"/>
  </bookViews>
  <sheets>
    <sheet name="Sheet3" sheetId="3" r:id="rId1"/>
    <sheet name="post_covid" sheetId="1" r:id="rId2"/>
    <sheet name="pre_covi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</calcChain>
</file>

<file path=xl/sharedStrings.xml><?xml version="1.0" encoding="utf-8"?>
<sst xmlns="http://schemas.openxmlformats.org/spreadsheetml/2006/main" count="124" uniqueCount="21">
  <si>
    <t>Item/ Year</t>
  </si>
  <si>
    <t>Quarter</t>
  </si>
  <si>
    <t>X-M</t>
  </si>
  <si>
    <t>ln(GFCE)</t>
  </si>
  <si>
    <t>ln(GDP)</t>
  </si>
  <si>
    <t>Q1</t>
  </si>
  <si>
    <t>Q2</t>
  </si>
  <si>
    <t>Q3</t>
  </si>
  <si>
    <t>Q4</t>
  </si>
  <si>
    <t>ln(X-M)</t>
  </si>
  <si>
    <t>ln(PFCE)</t>
  </si>
  <si>
    <t>ln(GFCF)</t>
  </si>
  <si>
    <t>PFCE</t>
  </si>
  <si>
    <t xml:space="preserve"> GFCE</t>
  </si>
  <si>
    <t>GFCF</t>
  </si>
  <si>
    <t>Change in Stock</t>
  </si>
  <si>
    <t xml:space="preserve"> Valuables</t>
  </si>
  <si>
    <t>Export of goods &amp; services</t>
  </si>
  <si>
    <t>Import of goods &amp; services</t>
  </si>
  <si>
    <t>Gross Domestic Product</t>
  </si>
  <si>
    <t>Discrepancies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</si>
</sst>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9CB5-41B9-4CB2-9ADC-CE2A2C2B3F59}">
  <dimension ref="A1:N37"/>
  <sheetViews>
    <sheetView workbookViewId="0">
      <selection activeCell="P7" sqref="P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</v>
      </c>
      <c r="K1" t="s">
        <v>20</v>
      </c>
      <c r="L1" t="s">
        <v>19</v>
      </c>
      <c r="M1" t="s">
        <v>3</v>
      </c>
      <c r="N1" t="s">
        <v>4</v>
      </c>
    </row>
    <row r="2" spans="1:14" x14ac:dyDescent="0.3">
      <c r="A2" s="1">
        <v>2011</v>
      </c>
      <c r="B2" t="s">
        <v>5</v>
      </c>
      <c r="C2">
        <v>1236604.3565237499</v>
      </c>
      <c r="D2">
        <v>204165.14586691101</v>
      </c>
      <c r="E2">
        <v>696954.79095973005</v>
      </c>
      <c r="F2">
        <v>52515.895196527999</v>
      </c>
      <c r="G2">
        <v>59926.727766870797</v>
      </c>
      <c r="H2">
        <v>506866.90870256</v>
      </c>
      <c r="I2">
        <v>643806.28655974602</v>
      </c>
      <c r="J2">
        <v>-136939.37785718602</v>
      </c>
      <c r="K2">
        <v>-10364.7209112496</v>
      </c>
      <c r="L2">
        <v>2102862.8175453502</v>
      </c>
      <c r="M2">
        <v>12.226684483890038</v>
      </c>
      <c r="N2">
        <v>14.558810220767018</v>
      </c>
    </row>
    <row r="3" spans="1:14" x14ac:dyDescent="0.3">
      <c r="A3" s="1"/>
      <c r="B3" t="s">
        <v>6</v>
      </c>
      <c r="C3">
        <v>1127292.93323392</v>
      </c>
      <c r="D3">
        <v>257146.70258303199</v>
      </c>
      <c r="E3">
        <v>727748.91684036294</v>
      </c>
      <c r="F3">
        <v>49135.349825928402</v>
      </c>
      <c r="G3">
        <v>65430.2027658691</v>
      </c>
      <c r="H3">
        <v>507189.19229472103</v>
      </c>
      <c r="I3">
        <v>640633.57316529297</v>
      </c>
      <c r="J3">
        <v>-133444.38087057194</v>
      </c>
      <c r="K3">
        <v>-50439.559969073402</v>
      </c>
      <c r="L3">
        <v>2042870.16440946</v>
      </c>
      <c r="M3">
        <v>12.457402028188831</v>
      </c>
      <c r="N3">
        <v>14.529866320340956</v>
      </c>
    </row>
    <row r="4" spans="1:14" x14ac:dyDescent="0.3">
      <c r="A4" s="1"/>
      <c r="B4" t="s">
        <v>7</v>
      </c>
      <c r="C4">
        <v>1264939.5002329301</v>
      </c>
      <c r="D4">
        <v>220375.09845720799</v>
      </c>
      <c r="E4">
        <v>752161.74158995005</v>
      </c>
      <c r="F4">
        <v>49219.423176915698</v>
      </c>
      <c r="G4">
        <v>60517.138877874502</v>
      </c>
      <c r="H4">
        <v>553499.20807519997</v>
      </c>
      <c r="I4">
        <v>713920.56273366301</v>
      </c>
      <c r="J4">
        <v>-160421.35465846304</v>
      </c>
      <c r="K4">
        <v>38343.680297139101</v>
      </c>
      <c r="L4">
        <v>2225135.2279735501</v>
      </c>
      <c r="M4">
        <v>12.303086366471293</v>
      </c>
      <c r="N4">
        <v>14.615328248352979</v>
      </c>
    </row>
    <row r="5" spans="1:14" x14ac:dyDescent="0.3">
      <c r="A5" s="1"/>
      <c r="B5" t="s">
        <v>8</v>
      </c>
      <c r="C5">
        <v>1281610.4978207001</v>
      </c>
      <c r="D5">
        <v>286688.05309284898</v>
      </c>
      <c r="E5">
        <v>820867.22412656597</v>
      </c>
      <c r="F5">
        <v>57112.472341530403</v>
      </c>
      <c r="G5">
        <v>67159.263876665602</v>
      </c>
      <c r="H5">
        <v>576375.690927519</v>
      </c>
      <c r="I5">
        <v>717193.577541298</v>
      </c>
      <c r="J5">
        <v>-140817.886613779</v>
      </c>
      <c r="K5">
        <v>-7158.2252662737201</v>
      </c>
      <c r="L5">
        <v>2365461.3993782601</v>
      </c>
      <c r="M5">
        <v>12.566149980591119</v>
      </c>
      <c r="N5">
        <v>14.676483655754168</v>
      </c>
    </row>
    <row r="6" spans="1:14" x14ac:dyDescent="0.3">
      <c r="A6" s="1">
        <v>2012</v>
      </c>
      <c r="B6" t="s">
        <v>5</v>
      </c>
      <c r="C6">
        <v>1225156.8145791499</v>
      </c>
      <c r="D6">
        <v>228822.60250939999</v>
      </c>
      <c r="E6">
        <v>763691.78543558996</v>
      </c>
      <c r="F6">
        <v>48568.685149327699</v>
      </c>
      <c r="G6">
        <v>69769.1075815191</v>
      </c>
      <c r="H6">
        <v>532776.12288454897</v>
      </c>
      <c r="I6">
        <v>677719.58526584494</v>
      </c>
      <c r="J6">
        <v>-144943.46238129598</v>
      </c>
      <c r="K6">
        <v>14157.9076853844</v>
      </c>
      <c r="L6">
        <v>2205223.4405590799</v>
      </c>
      <c r="M6">
        <v>12.34070232080008</v>
      </c>
      <c r="N6">
        <v>14.606339395316066</v>
      </c>
    </row>
    <row r="7" spans="1:14" x14ac:dyDescent="0.3">
      <c r="A7" s="1"/>
      <c r="B7" t="s">
        <v>6</v>
      </c>
      <c r="C7">
        <v>1224958.83479696</v>
      </c>
      <c r="D7">
        <v>286153.23797594802</v>
      </c>
      <c r="E7">
        <v>767235.01805717696</v>
      </c>
      <c r="F7">
        <v>50684.930059214697</v>
      </c>
      <c r="G7">
        <v>64580.460996834299</v>
      </c>
      <c r="H7">
        <v>652251.17537923902</v>
      </c>
      <c r="I7">
        <v>745413.74118863302</v>
      </c>
      <c r="J7">
        <v>-93162.565809394</v>
      </c>
      <c r="K7">
        <v>-104504.04095580999</v>
      </c>
      <c r="L7">
        <v>2195945.8751209299</v>
      </c>
      <c r="M7">
        <v>12.564282743432663</v>
      </c>
      <c r="N7">
        <v>14.602123434277273</v>
      </c>
    </row>
    <row r="8" spans="1:14" x14ac:dyDescent="0.3">
      <c r="A8" s="1"/>
      <c r="B8" t="s">
        <v>7</v>
      </c>
      <c r="C8">
        <v>1377374.40457373</v>
      </c>
      <c r="D8">
        <v>189644.93813293599</v>
      </c>
      <c r="E8">
        <v>769338.92851069605</v>
      </c>
      <c r="F8">
        <v>48221.464256153202</v>
      </c>
      <c r="G8">
        <v>60195.958901288701</v>
      </c>
      <c r="H8">
        <v>528616.536765803</v>
      </c>
      <c r="I8">
        <v>736031.60481507506</v>
      </c>
      <c r="J8">
        <v>-207415.06804927206</v>
      </c>
      <c r="K8">
        <v>107406.586676177</v>
      </c>
      <c r="L8">
        <v>2344767.2130017099</v>
      </c>
      <c r="M8">
        <v>12.152908856188402</v>
      </c>
      <c r="N8">
        <v>14.667696685426108</v>
      </c>
    </row>
    <row r="9" spans="1:14" x14ac:dyDescent="0.3">
      <c r="A9" s="1"/>
      <c r="B9" t="s">
        <v>8</v>
      </c>
      <c r="C9">
        <v>1351601.69617863</v>
      </c>
      <c r="D9">
        <v>269642.19106094399</v>
      </c>
      <c r="E9">
        <v>845527.46280528</v>
      </c>
      <c r="F9">
        <v>54053.035437548599</v>
      </c>
      <c r="G9">
        <v>65403.751783334097</v>
      </c>
      <c r="H9">
        <v>576192.149014703</v>
      </c>
      <c r="I9">
        <v>719914.20818341104</v>
      </c>
      <c r="J9">
        <v>-143722.05916870805</v>
      </c>
      <c r="K9">
        <v>24575.789141020701</v>
      </c>
      <c r="L9">
        <v>2467081.8672380499</v>
      </c>
      <c r="M9">
        <v>12.504851140809393</v>
      </c>
      <c r="N9">
        <v>14.718546579897266</v>
      </c>
    </row>
    <row r="10" spans="1:14" x14ac:dyDescent="0.3">
      <c r="A10" s="1">
        <v>2013</v>
      </c>
      <c r="B10" t="s">
        <v>5</v>
      </c>
      <c r="C10">
        <v>1321378.6364285101</v>
      </c>
      <c r="D10">
        <v>272180.58983253699</v>
      </c>
      <c r="E10">
        <v>785524.87674855196</v>
      </c>
      <c r="F10">
        <v>31849.089813826398</v>
      </c>
      <c r="G10">
        <v>37116.573563640799</v>
      </c>
      <c r="H10">
        <v>550329.83365408995</v>
      </c>
      <c r="I10">
        <v>657363.376429411</v>
      </c>
      <c r="J10">
        <v>-107033.54277532105</v>
      </c>
      <c r="K10">
        <v>6380.1471249593897</v>
      </c>
      <c r="L10">
        <v>2347396.3707367098</v>
      </c>
      <c r="M10">
        <v>12.514221058179846</v>
      </c>
      <c r="N10">
        <v>14.668817344569053</v>
      </c>
    </row>
    <row r="11" spans="1:14" x14ac:dyDescent="0.3">
      <c r="A11" s="1"/>
      <c r="B11" t="s">
        <v>6</v>
      </c>
      <c r="C11">
        <v>1299202.9422542299</v>
      </c>
      <c r="D11">
        <v>279484.70853330998</v>
      </c>
      <c r="E11">
        <v>779670.09374413802</v>
      </c>
      <c r="F11">
        <v>32224.165970125199</v>
      </c>
      <c r="G11">
        <v>37741.6699725613</v>
      </c>
      <c r="H11">
        <v>645078.06187160395</v>
      </c>
      <c r="I11">
        <v>684552.491915202</v>
      </c>
      <c r="J11">
        <v>-39474.430043598055</v>
      </c>
      <c r="K11">
        <v>-31770.284333365598</v>
      </c>
      <c r="L11">
        <v>2357078.8660974</v>
      </c>
      <c r="M11">
        <v>12.540702860003037</v>
      </c>
      <c r="N11">
        <v>14.672933641730735</v>
      </c>
    </row>
    <row r="12" spans="1:14" x14ac:dyDescent="0.3">
      <c r="A12" s="1"/>
      <c r="B12" t="s">
        <v>7</v>
      </c>
      <c r="C12">
        <v>1473208.3458473</v>
      </c>
      <c r="D12">
        <v>195395.19570821701</v>
      </c>
      <c r="E12">
        <v>787578.62430098897</v>
      </c>
      <c r="F12">
        <v>31359.365151411199</v>
      </c>
      <c r="G12">
        <v>32398.8648170706</v>
      </c>
      <c r="H12">
        <v>613839.60716175498</v>
      </c>
      <c r="I12">
        <v>632540.66443666199</v>
      </c>
      <c r="J12">
        <v>-18701.057274907012</v>
      </c>
      <c r="K12">
        <v>-3241.9958565987199</v>
      </c>
      <c r="L12">
        <v>2497997.34269349</v>
      </c>
      <c r="M12">
        <v>12.182779431329584</v>
      </c>
      <c r="N12">
        <v>14.730999905893471</v>
      </c>
    </row>
    <row r="13" spans="1:14" x14ac:dyDescent="0.3">
      <c r="A13" s="1"/>
      <c r="B13" t="s">
        <v>8</v>
      </c>
      <c r="C13">
        <v>1463539.42145835</v>
      </c>
      <c r="D13">
        <v>232764.624274003</v>
      </c>
      <c r="E13">
        <v>842150.71523319604</v>
      </c>
      <c r="F13">
        <v>34325.350384208199</v>
      </c>
      <c r="G13">
        <v>41621.985416615302</v>
      </c>
      <c r="H13">
        <v>659021.41415012395</v>
      </c>
      <c r="I13">
        <v>670098.55071930902</v>
      </c>
      <c r="J13">
        <v>-11077.136569185066</v>
      </c>
      <c r="K13">
        <v>-4429.3988054466899</v>
      </c>
      <c r="L13">
        <v>2598897.5613917401</v>
      </c>
      <c r="M13">
        <v>12.357783025706798</v>
      </c>
      <c r="N13">
        <v>14.770597898222665</v>
      </c>
    </row>
    <row r="14" spans="1:14" x14ac:dyDescent="0.3">
      <c r="A14" s="1">
        <v>2014</v>
      </c>
      <c r="B14" t="s">
        <v>5</v>
      </c>
      <c r="C14">
        <v>1417165.1441509</v>
      </c>
      <c r="D14">
        <v>278563.61302637699</v>
      </c>
      <c r="E14">
        <v>808569.27134255995</v>
      </c>
      <c r="F14">
        <v>68881.009584907704</v>
      </c>
      <c r="G14">
        <v>49133.317955393803</v>
      </c>
      <c r="H14">
        <v>622484.58224185603</v>
      </c>
      <c r="I14">
        <v>663204.88951953501</v>
      </c>
      <c r="J14">
        <v>-40720.307277678978</v>
      </c>
      <c r="K14">
        <v>-45841.4613553542</v>
      </c>
      <c r="L14">
        <v>2535750.5874271099</v>
      </c>
      <c r="M14">
        <v>12.537401725288296</v>
      </c>
      <c r="N14">
        <v>14.746000240896349</v>
      </c>
    </row>
    <row r="15" spans="1:14" x14ac:dyDescent="0.3">
      <c r="A15" s="1"/>
      <c r="B15" t="s">
        <v>6</v>
      </c>
      <c r="C15">
        <v>1412804.0170126599</v>
      </c>
      <c r="D15">
        <v>307608.738877317</v>
      </c>
      <c r="E15">
        <v>815553.17757057399</v>
      </c>
      <c r="F15">
        <v>69140.1689775009</v>
      </c>
      <c r="G15">
        <v>45222.797623701299</v>
      </c>
      <c r="H15">
        <v>626568.09297968296</v>
      </c>
      <c r="I15">
        <v>681671.42570488295</v>
      </c>
      <c r="J15">
        <v>-55103.332725199987</v>
      </c>
      <c r="K15">
        <v>-32983.983511408798</v>
      </c>
      <c r="L15">
        <v>2562241.5838251398</v>
      </c>
      <c r="M15">
        <v>12.636583926084315</v>
      </c>
      <c r="N15">
        <v>14.756393052007038</v>
      </c>
    </row>
    <row r="16" spans="1:14" x14ac:dyDescent="0.3">
      <c r="A16" s="1"/>
      <c r="B16" t="s">
        <v>7</v>
      </c>
      <c r="C16">
        <v>1504575.6093839901</v>
      </c>
      <c r="D16">
        <v>251973.18591831799</v>
      </c>
      <c r="E16">
        <v>793636.72311273206</v>
      </c>
      <c r="F16">
        <v>63605.119920253099</v>
      </c>
      <c r="G16">
        <v>40230.9591699878</v>
      </c>
      <c r="H16">
        <v>635337.96140340203</v>
      </c>
      <c r="I16">
        <v>680646.15485768497</v>
      </c>
      <c r="J16">
        <v>-45308.19345428294</v>
      </c>
      <c r="K16">
        <v>37233.731121753503</v>
      </c>
      <c r="L16">
        <v>2645947.1351727499</v>
      </c>
      <c r="M16">
        <v>12.437077955746098</v>
      </c>
      <c r="N16">
        <v>14.788539644308832</v>
      </c>
    </row>
    <row r="17" spans="1:14" x14ac:dyDescent="0.3">
      <c r="A17" s="1"/>
      <c r="B17" t="s">
        <v>8</v>
      </c>
      <c r="C17">
        <v>1578111.9503422801</v>
      </c>
      <c r="D17">
        <v>216005.341654088</v>
      </c>
      <c r="E17">
        <v>860336.92334208696</v>
      </c>
      <c r="F17">
        <v>73124.774434021601</v>
      </c>
      <c r="G17">
        <v>53369.714981393998</v>
      </c>
      <c r="H17">
        <v>627753.99975908105</v>
      </c>
      <c r="I17">
        <v>642072.79087751405</v>
      </c>
      <c r="J17">
        <v>-14318.791118433001</v>
      </c>
      <c r="K17">
        <v>17103.3189824728</v>
      </c>
      <c r="L17">
        <v>2783733.23261791</v>
      </c>
      <c r="M17">
        <v>12.283058416240561</v>
      </c>
      <c r="N17">
        <v>14.839303474228133</v>
      </c>
    </row>
    <row r="18" spans="1:14" x14ac:dyDescent="0.3">
      <c r="A18" s="1">
        <v>2020</v>
      </c>
      <c r="B18" t="s">
        <v>5</v>
      </c>
      <c r="C18">
        <v>1548748.8549139299</v>
      </c>
      <c r="D18">
        <v>413194.642703288</v>
      </c>
      <c r="E18">
        <v>687227.40812402102</v>
      </c>
      <c r="F18">
        <v>4370.3170542039497</v>
      </c>
      <c r="G18">
        <v>3893.3536147927398</v>
      </c>
      <c r="H18">
        <v>536467.30817506101</v>
      </c>
      <c r="I18">
        <v>524126.71919469797</v>
      </c>
      <c r="J18">
        <v>12340.588980363042</v>
      </c>
      <c r="K18">
        <v>62530.997089738703</v>
      </c>
      <c r="L18">
        <v>2732306.1624803399</v>
      </c>
      <c r="M18">
        <v>12.283058416240561</v>
      </c>
      <c r="N18">
        <v>14.839303474228133</v>
      </c>
    </row>
    <row r="19" spans="1:14" x14ac:dyDescent="0.3">
      <c r="A19" s="1"/>
      <c r="B19" t="s">
        <v>6</v>
      </c>
      <c r="C19">
        <v>1855896.7168880701</v>
      </c>
      <c r="D19">
        <v>310473.14766124799</v>
      </c>
      <c r="E19">
        <v>1064780.64759442</v>
      </c>
      <c r="F19">
        <v>6752.86889900188</v>
      </c>
      <c r="G19">
        <v>53784.929391656697</v>
      </c>
      <c r="H19">
        <v>677013.28901498101</v>
      </c>
      <c r="I19">
        <v>698471.30944886897</v>
      </c>
      <c r="J19">
        <v>-21458.020433887956</v>
      </c>
      <c r="K19">
        <v>72426.123205188705</v>
      </c>
      <c r="L19">
        <v>3342656.4132057</v>
      </c>
      <c r="M19">
        <v>12.283058416240561</v>
      </c>
      <c r="N19">
        <v>14.839303474228133</v>
      </c>
    </row>
    <row r="20" spans="1:14" x14ac:dyDescent="0.3">
      <c r="A20" s="1"/>
      <c r="B20" t="s">
        <v>7</v>
      </c>
      <c r="C20">
        <v>2187534.9222186399</v>
      </c>
      <c r="D20">
        <v>331726.45590995799</v>
      </c>
      <c r="E20">
        <v>1178365.8102681499</v>
      </c>
      <c r="F20">
        <v>6760.0355023465499</v>
      </c>
      <c r="G20">
        <v>52306.467453980498</v>
      </c>
      <c r="H20">
        <v>661490.18305972498</v>
      </c>
      <c r="I20">
        <v>775343.91167939303</v>
      </c>
      <c r="J20">
        <v>-113853.72861966805</v>
      </c>
      <c r="K20">
        <v>24497.954974246899</v>
      </c>
      <c r="L20">
        <v>3667337.9177076598</v>
      </c>
      <c r="M20">
        <v>12.283058416240561</v>
      </c>
      <c r="N20">
        <v>14.839303474228133</v>
      </c>
    </row>
    <row r="21" spans="1:14" x14ac:dyDescent="0.3">
      <c r="A21" s="1"/>
      <c r="B21" t="s">
        <v>8</v>
      </c>
      <c r="C21">
        <v>2227328.0274544</v>
      </c>
      <c r="D21">
        <v>424730.11095286201</v>
      </c>
      <c r="E21">
        <v>1336310.41159885</v>
      </c>
      <c r="F21">
        <v>7733.2614660444297</v>
      </c>
      <c r="G21">
        <v>103671.110605304</v>
      </c>
      <c r="H21">
        <v>743181.72655096895</v>
      </c>
      <c r="I21">
        <v>904521.04566570197</v>
      </c>
      <c r="J21">
        <v>-161339.31911473302</v>
      </c>
      <c r="K21">
        <v>14134.837564032299</v>
      </c>
      <c r="L21">
        <v>3952568.4405267602</v>
      </c>
      <c r="M21">
        <v>12.283058416240561</v>
      </c>
      <c r="N21">
        <v>14.839303474228133</v>
      </c>
    </row>
    <row r="22" spans="1:14" x14ac:dyDescent="0.3">
      <c r="A22" s="1">
        <v>2021</v>
      </c>
      <c r="B22" t="s">
        <v>5</v>
      </c>
      <c r="C22">
        <v>1828295.7985473</v>
      </c>
      <c r="D22">
        <v>379484.773604121</v>
      </c>
      <c r="E22">
        <v>1144394.7757280699</v>
      </c>
      <c r="F22">
        <v>37314.401134196298</v>
      </c>
      <c r="G22">
        <v>22377.576444939601</v>
      </c>
      <c r="H22">
        <v>785790.74443480105</v>
      </c>
      <c r="I22">
        <v>760671.01717536699</v>
      </c>
      <c r="J22">
        <v>25119.727259434061</v>
      </c>
      <c r="K22">
        <v>-86256.926925491294</v>
      </c>
      <c r="L22">
        <v>3350730.1257925699</v>
      </c>
      <c r="M22">
        <v>12.283058416240561</v>
      </c>
      <c r="N22">
        <v>14.839303474228133</v>
      </c>
    </row>
    <row r="23" spans="1:14" x14ac:dyDescent="0.3">
      <c r="A23" s="1"/>
      <c r="B23" t="s">
        <v>6</v>
      </c>
      <c r="C23">
        <v>2109195.7663911399</v>
      </c>
      <c r="D23">
        <v>325629.71617564</v>
      </c>
      <c r="E23">
        <v>1227683.54582922</v>
      </c>
      <c r="F23">
        <v>40523.857275931499</v>
      </c>
      <c r="G23">
        <v>136470.644994717</v>
      </c>
      <c r="H23">
        <v>848921.88342262001</v>
      </c>
      <c r="I23">
        <v>885952.78742605902</v>
      </c>
      <c r="J23">
        <v>-37030.904003439005</v>
      </c>
      <c r="K23">
        <v>-130034.48883438901</v>
      </c>
      <c r="L23">
        <v>3672438.1378288199</v>
      </c>
      <c r="M23">
        <v>12.283058416240561</v>
      </c>
      <c r="N23">
        <v>14.839303474228133</v>
      </c>
    </row>
    <row r="24" spans="1:14" x14ac:dyDescent="0.3">
      <c r="A24" s="1"/>
      <c r="B24" t="s">
        <v>7</v>
      </c>
      <c r="C24">
        <v>2429098.4302506298</v>
      </c>
      <c r="D24">
        <v>329449.01735547901</v>
      </c>
      <c r="E24">
        <v>1220748.5847948301</v>
      </c>
      <c r="F24">
        <v>38512.833936374998</v>
      </c>
      <c r="G24">
        <v>74740.568796058695</v>
      </c>
      <c r="H24">
        <v>847631.52113472298</v>
      </c>
      <c r="I24">
        <v>930346.219117434</v>
      </c>
      <c r="J24">
        <v>-82714.697982711019</v>
      </c>
      <c r="K24">
        <v>-139726.95628431</v>
      </c>
      <c r="L24">
        <v>3870107.78086635</v>
      </c>
      <c r="M24">
        <v>12.283058416240561</v>
      </c>
      <c r="N24">
        <v>14.839303474228133</v>
      </c>
    </row>
    <row r="25" spans="1:14" x14ac:dyDescent="0.3">
      <c r="A25" s="1"/>
      <c r="B25" t="s">
        <v>8</v>
      </c>
      <c r="C25">
        <v>2365983.4054732402</v>
      </c>
      <c r="D25">
        <v>445830.34499907697</v>
      </c>
      <c r="E25">
        <v>1421436.2140764</v>
      </c>
      <c r="F25">
        <v>43851.900945223599</v>
      </c>
      <c r="G25">
        <v>49510.225172079299</v>
      </c>
      <c r="H25">
        <v>910763.02885166404</v>
      </c>
      <c r="I25">
        <v>966775.39618961001</v>
      </c>
      <c r="J25">
        <v>-56012.367337945965</v>
      </c>
      <c r="K25">
        <v>-142029.51425913299</v>
      </c>
      <c r="L25">
        <v>4128570.2090689298</v>
      </c>
      <c r="M25">
        <v>12.283058416240561</v>
      </c>
      <c r="N25">
        <v>14.839303474228133</v>
      </c>
    </row>
    <row r="26" spans="1:14" x14ac:dyDescent="0.3">
      <c r="A26" s="1">
        <v>2022</v>
      </c>
      <c r="B26" t="s">
        <v>5</v>
      </c>
      <c r="C26">
        <v>2182105.2638357799</v>
      </c>
      <c r="D26">
        <v>398510.42969683697</v>
      </c>
      <c r="E26">
        <v>1327515.3214477401</v>
      </c>
      <c r="F26">
        <v>48476.771281938301</v>
      </c>
      <c r="G26">
        <v>36360.826918218998</v>
      </c>
      <c r="H26">
        <v>909583.78649798199</v>
      </c>
      <c r="I26">
        <v>943759.29915309895</v>
      </c>
      <c r="J26">
        <v>-34175.512655116967</v>
      </c>
      <c r="K26">
        <v>-156024.02928378599</v>
      </c>
      <c r="L26">
        <v>3802769.07124162</v>
      </c>
      <c r="M26">
        <v>12.283058416240561</v>
      </c>
      <c r="N26">
        <v>14.839303474228133</v>
      </c>
    </row>
    <row r="27" spans="1:14" x14ac:dyDescent="0.3">
      <c r="A27" s="1"/>
      <c r="B27" t="s">
        <v>6</v>
      </c>
      <c r="C27">
        <v>2298644.0267722802</v>
      </c>
      <c r="D27">
        <v>322157.20117491402</v>
      </c>
      <c r="E27">
        <v>1306635.5157260399</v>
      </c>
      <c r="F27">
        <v>47748.822587964503</v>
      </c>
      <c r="G27">
        <v>112539.978114467</v>
      </c>
      <c r="H27">
        <v>920147.24643259705</v>
      </c>
      <c r="I27">
        <v>1010069.72905745</v>
      </c>
      <c r="J27">
        <v>-89922.482624852913</v>
      </c>
      <c r="K27">
        <v>-106552.336665603</v>
      </c>
      <c r="L27">
        <v>3891250.7250851998</v>
      </c>
      <c r="M27">
        <v>12.283058416240561</v>
      </c>
      <c r="N27">
        <v>14.839303474228133</v>
      </c>
    </row>
    <row r="28" spans="1:14" x14ac:dyDescent="0.3">
      <c r="A28" s="1"/>
      <c r="B28" t="s">
        <v>7</v>
      </c>
      <c r="C28">
        <v>2487580.8264557598</v>
      </c>
      <c r="D28">
        <v>337544.31153137499</v>
      </c>
      <c r="E28">
        <v>1302885.2665383001</v>
      </c>
      <c r="F28">
        <v>46641.926241692199</v>
      </c>
      <c r="G28">
        <v>47419.926177989502</v>
      </c>
      <c r="H28">
        <v>917180.027822932</v>
      </c>
      <c r="I28">
        <v>957144.01359511202</v>
      </c>
      <c r="J28">
        <v>-39963.985772180022</v>
      </c>
      <c r="K28">
        <v>-124530.487986812</v>
      </c>
      <c r="L28">
        <v>4057577.78318612</v>
      </c>
      <c r="M28">
        <v>12.283058416240561</v>
      </c>
      <c r="N28">
        <v>14.839303474228133</v>
      </c>
    </row>
    <row r="29" spans="1:14" x14ac:dyDescent="0.3">
      <c r="A29" s="1"/>
      <c r="B29" t="s">
        <v>8</v>
      </c>
      <c r="C29">
        <v>2416612.7448625001</v>
      </c>
      <c r="D29">
        <v>485779.51166209299</v>
      </c>
      <c r="E29">
        <v>1500688.66881955</v>
      </c>
      <c r="F29">
        <v>56309.401540921499</v>
      </c>
      <c r="G29">
        <v>38825.421721838</v>
      </c>
      <c r="H29">
        <v>996398.99063101294</v>
      </c>
      <c r="I29">
        <v>948895.65621899604</v>
      </c>
      <c r="J29">
        <v>47503.334412016906</v>
      </c>
      <c r="K29">
        <v>-132403.28700701499</v>
      </c>
      <c r="L29">
        <v>4413315.7960118996</v>
      </c>
      <c r="M29">
        <v>12.283058416240561</v>
      </c>
      <c r="N29">
        <v>14.839303474228133</v>
      </c>
    </row>
    <row r="30" spans="1:14" x14ac:dyDescent="0.3">
      <c r="A30" s="1">
        <v>2023</v>
      </c>
      <c r="B30" t="s">
        <v>5</v>
      </c>
      <c r="C30">
        <v>2343902.7814108101</v>
      </c>
      <c r="D30">
        <v>419571.41714211402</v>
      </c>
      <c r="E30">
        <v>1439563.7149368201</v>
      </c>
      <c r="F30">
        <v>71042.628633809902</v>
      </c>
      <c r="G30">
        <v>27109.187899373101</v>
      </c>
      <c r="H30">
        <v>846035.170235764</v>
      </c>
      <c r="I30">
        <v>1114042.03101676</v>
      </c>
      <c r="J30">
        <v>-268006.86078099604</v>
      </c>
      <c r="K30">
        <v>136931.57429322699</v>
      </c>
      <c r="L30">
        <v>4170114.4435351598</v>
      </c>
      <c r="M30">
        <v>12.283058416240561</v>
      </c>
      <c r="N30">
        <v>14.839303474228133</v>
      </c>
    </row>
    <row r="31" spans="1:14" x14ac:dyDescent="0.3">
      <c r="A31" s="1"/>
      <c r="B31" t="s">
        <v>6</v>
      </c>
      <c r="C31">
        <v>2366538.7444699602</v>
      </c>
      <c r="D31">
        <v>387039.72118401999</v>
      </c>
      <c r="E31">
        <v>1459663.41905561</v>
      </c>
      <c r="F31">
        <v>76306.088183779502</v>
      </c>
      <c r="G31">
        <v>105307.898703713</v>
      </c>
      <c r="H31">
        <v>962377.54518132203</v>
      </c>
      <c r="I31">
        <v>1154462.81088535</v>
      </c>
      <c r="J31">
        <v>-192085.26570402796</v>
      </c>
      <c r="K31">
        <v>52035.187669191</v>
      </c>
      <c r="L31">
        <v>4254805.79356224</v>
      </c>
      <c r="M31">
        <v>12.283058416240561</v>
      </c>
      <c r="N31">
        <v>14.839303474228133</v>
      </c>
    </row>
    <row r="32" spans="1:14" x14ac:dyDescent="0.3">
      <c r="A32" s="1"/>
      <c r="B32" t="s">
        <v>7</v>
      </c>
      <c r="C32">
        <v>2629134.9677002202</v>
      </c>
      <c r="D32">
        <v>345292.44756121701</v>
      </c>
      <c r="E32">
        <v>1424622.10592143</v>
      </c>
      <c r="F32">
        <v>72654.473443283307</v>
      </c>
      <c r="G32">
        <v>73370.922042379796</v>
      </c>
      <c r="H32">
        <v>944237.85508090805</v>
      </c>
      <c r="I32">
        <v>1065420.3627811</v>
      </c>
      <c r="J32">
        <v>-121182.50770019193</v>
      </c>
      <c r="K32">
        <v>19745.8336929574</v>
      </c>
      <c r="L32">
        <v>4443638.2426613001</v>
      </c>
      <c r="M32">
        <v>12.283058416240561</v>
      </c>
      <c r="N32">
        <v>14.839303474228133</v>
      </c>
    </row>
    <row r="33" spans="1:14" x14ac:dyDescent="0.3">
      <c r="A33" s="1"/>
      <c r="B33" t="s">
        <v>8</v>
      </c>
      <c r="C33">
        <v>517771.66862636199</v>
      </c>
      <c r="D33">
        <v>2567197.99454206</v>
      </c>
      <c r="E33">
        <v>1591438.92931432</v>
      </c>
      <c r="F33">
        <v>85606.809739127304</v>
      </c>
      <c r="G33">
        <v>63318.228509912602</v>
      </c>
      <c r="H33">
        <v>1072843.76502474</v>
      </c>
      <c r="I33">
        <v>1056689.2131020201</v>
      </c>
      <c r="J33">
        <v>16154.551922719926</v>
      </c>
      <c r="K33">
        <v>-59455.714174811001</v>
      </c>
      <c r="L33">
        <v>4782032.4684796799</v>
      </c>
      <c r="M33">
        <v>12.283058416240561</v>
      </c>
      <c r="N33">
        <v>14.839303474228133</v>
      </c>
    </row>
    <row r="34" spans="1:14" x14ac:dyDescent="0.3">
      <c r="A34" s="1">
        <v>2024</v>
      </c>
      <c r="B34" t="s">
        <v>5</v>
      </c>
      <c r="C34">
        <v>2537917.2562652202</v>
      </c>
      <c r="D34">
        <v>418344.473523024</v>
      </c>
      <c r="E34">
        <v>1535296.5488082001</v>
      </c>
      <c r="F34">
        <v>76390.054691567595</v>
      </c>
      <c r="G34">
        <v>20848.8664395015</v>
      </c>
      <c r="H34">
        <v>916189.14140923298</v>
      </c>
      <c r="I34">
        <v>1096706.4136169699</v>
      </c>
      <c r="J34">
        <v>-180517.27220773697</v>
      </c>
      <c r="K34">
        <v>33384.018635247798</v>
      </c>
      <c r="L34">
        <v>4441663.94615502</v>
      </c>
      <c r="M34">
        <v>12.283058416240561</v>
      </c>
      <c r="N34">
        <v>14.839303474228133</v>
      </c>
    </row>
    <row r="35" spans="1:14" x14ac:dyDescent="0.3">
      <c r="A35" s="1"/>
      <c r="B35" t="s">
        <v>6</v>
      </c>
      <c r="C35">
        <v>2518253.5827345201</v>
      </c>
      <c r="D35">
        <v>403592.45669897</v>
      </c>
      <c r="E35">
        <v>1557503.2266534599</v>
      </c>
      <c r="F35">
        <v>77908.348784656206</v>
      </c>
      <c r="G35">
        <v>132481.65372754299</v>
      </c>
      <c r="H35">
        <v>991507.51827557897</v>
      </c>
      <c r="I35">
        <v>1166500.4868775799</v>
      </c>
      <c r="J35">
        <v>-174992.96860200097</v>
      </c>
      <c r="K35">
        <v>-21159.740113370601</v>
      </c>
      <c r="L35">
        <v>4493586.5598837798</v>
      </c>
      <c r="M35">
        <v>12.283058416240561</v>
      </c>
      <c r="N35">
        <v>14.839303474228133</v>
      </c>
    </row>
    <row r="36" spans="1:14" x14ac:dyDescent="0.3">
      <c r="A36" s="1"/>
      <c r="B36" t="s">
        <v>7</v>
      </c>
      <c r="C36">
        <v>2843368.35942683</v>
      </c>
      <c r="D36">
        <v>377374.23547327798</v>
      </c>
      <c r="E36">
        <v>1499134.3260570399</v>
      </c>
      <c r="F36">
        <v>75228.310157673099</v>
      </c>
      <c r="G36">
        <v>72973.906703160901</v>
      </c>
      <c r="H36">
        <v>1046234.31575936</v>
      </c>
      <c r="I36">
        <v>1043395.03140333</v>
      </c>
      <c r="J36">
        <v>2839.284356029937</v>
      </c>
      <c r="K36">
        <v>-144376.59234606</v>
      </c>
      <c r="L36">
        <v>4726541.8298279596</v>
      </c>
      <c r="M36">
        <v>12.283058416240561</v>
      </c>
      <c r="N36">
        <v>14.839303474228133</v>
      </c>
    </row>
    <row r="37" spans="1:14" x14ac:dyDescent="0.3">
      <c r="A37" s="1"/>
      <c r="B37" t="s">
        <v>8</v>
      </c>
      <c r="C37">
        <v>2720039.3694086499</v>
      </c>
      <c r="D37">
        <v>508418.53459961602</v>
      </c>
      <c r="E37">
        <v>1741150.1233182801</v>
      </c>
      <c r="F37">
        <v>89700.787776992802</v>
      </c>
      <c r="G37">
        <v>44453.329873422997</v>
      </c>
      <c r="H37">
        <v>1114167.20253504</v>
      </c>
      <c r="I37">
        <v>922787.570353157</v>
      </c>
      <c r="J37">
        <v>191379.63218188297</v>
      </c>
      <c r="K37">
        <v>-159978.66912705399</v>
      </c>
      <c r="L37">
        <v>5135163.1080317898</v>
      </c>
      <c r="M37">
        <v>12.283058416240561</v>
      </c>
      <c r="N37">
        <v>14.839303474228133</v>
      </c>
    </row>
  </sheetData>
  <mergeCells count="9">
    <mergeCell ref="A22:A25"/>
    <mergeCell ref="A26:A29"/>
    <mergeCell ref="A30:A33"/>
    <mergeCell ref="A34:A37"/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B6EF-1257-44BF-9CAF-5835448F5B52}">
  <dimension ref="A1:Q21"/>
  <sheetViews>
    <sheetView workbookViewId="0">
      <selection activeCell="P15" sqref="P15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</v>
      </c>
      <c r="K1" t="s">
        <v>20</v>
      </c>
      <c r="L1" t="s">
        <v>19</v>
      </c>
      <c r="M1" t="s">
        <v>10</v>
      </c>
      <c r="N1" t="s">
        <v>3</v>
      </c>
      <c r="O1" t="s">
        <v>11</v>
      </c>
      <c r="P1" t="s">
        <v>9</v>
      </c>
      <c r="Q1" t="s">
        <v>4</v>
      </c>
    </row>
    <row r="2" spans="1:17" x14ac:dyDescent="0.3">
      <c r="A2" s="1">
        <v>2020</v>
      </c>
      <c r="B2" t="s">
        <v>5</v>
      </c>
      <c r="C2">
        <v>1548748.8549139299</v>
      </c>
      <c r="D2">
        <v>413194.642703288</v>
      </c>
      <c r="E2">
        <v>687227.40812402102</v>
      </c>
      <c r="F2">
        <v>4370.3170542039497</v>
      </c>
      <c r="G2">
        <v>3893.3536147927398</v>
      </c>
      <c r="H2">
        <v>536467.30817506101</v>
      </c>
      <c r="I2">
        <v>524126.71919469797</v>
      </c>
      <c r="J2">
        <v>12340.588980363042</v>
      </c>
      <c r="K2">
        <v>62530.997089738703</v>
      </c>
      <c r="L2">
        <v>2732306.1624803399</v>
      </c>
      <c r="M2">
        <f>LN(C2)</f>
        <v>14.252957972563751</v>
      </c>
      <c r="N2">
        <v>12.931674050759465</v>
      </c>
      <c r="O2">
        <f>LN(E2)</f>
        <v>13.440420532622884</v>
      </c>
      <c r="P2">
        <f>SIGN(J2)*LN(ABS(J2))</f>
        <v>9.4206490256852824</v>
      </c>
      <c r="Q2">
        <v>14.82065655872352</v>
      </c>
    </row>
    <row r="3" spans="1:17" x14ac:dyDescent="0.3">
      <c r="A3" s="1"/>
      <c r="B3" t="s">
        <v>6</v>
      </c>
      <c r="C3">
        <v>1855896.7168880701</v>
      </c>
      <c r="D3">
        <v>310473.14766124799</v>
      </c>
      <c r="E3">
        <v>1064780.64759442</v>
      </c>
      <c r="F3">
        <v>6752.86889900188</v>
      </c>
      <c r="G3">
        <v>53784.929391656697</v>
      </c>
      <c r="H3">
        <v>677013.28901498101</v>
      </c>
      <c r="I3">
        <v>698471.30944886897</v>
      </c>
      <c r="J3">
        <v>-21458.020433887956</v>
      </c>
      <c r="K3">
        <v>72426.123205188705</v>
      </c>
      <c r="L3">
        <v>3342656.4132057</v>
      </c>
      <c r="M3">
        <f t="shared" ref="M3:M21" si="0">LN(C3)</f>
        <v>14.433878542551453</v>
      </c>
      <c r="N3">
        <v>12.645852695653812</v>
      </c>
      <c r="O3">
        <f t="shared" ref="O3:O21" si="1">LN(E3)</f>
        <v>13.878279371211946</v>
      </c>
      <c r="P3">
        <f t="shared" ref="P3:P21" si="2">SIGN(J3)*LN(ABS(J3))</f>
        <v>-9.9738537674698868</v>
      </c>
      <c r="Q3">
        <v>15.022276382138076</v>
      </c>
    </row>
    <row r="4" spans="1:17" x14ac:dyDescent="0.3">
      <c r="A4" s="1"/>
      <c r="B4" t="s">
        <v>7</v>
      </c>
      <c r="C4">
        <v>2187534.9222186399</v>
      </c>
      <c r="D4">
        <v>331726.45590995799</v>
      </c>
      <c r="E4">
        <v>1178365.8102681499</v>
      </c>
      <c r="F4">
        <v>6760.0355023465499</v>
      </c>
      <c r="G4">
        <v>52306.467453980498</v>
      </c>
      <c r="H4">
        <v>661490.18305972498</v>
      </c>
      <c r="I4">
        <v>775343.91167939303</v>
      </c>
      <c r="J4">
        <v>-113853.72861966805</v>
      </c>
      <c r="K4">
        <v>24497.954974246899</v>
      </c>
      <c r="L4">
        <v>3667337.9177076598</v>
      </c>
      <c r="M4">
        <f t="shared" si="0"/>
        <v>14.598285861529282</v>
      </c>
      <c r="N4">
        <v>12.712065980301354</v>
      </c>
      <c r="O4">
        <f t="shared" si="1"/>
        <v>13.979639130020031</v>
      </c>
      <c r="P4">
        <f t="shared" si="2"/>
        <v>-11.642669821238155</v>
      </c>
      <c r="Q4">
        <v>15.114976593805274</v>
      </c>
    </row>
    <row r="5" spans="1:17" x14ac:dyDescent="0.3">
      <c r="A5" s="1"/>
      <c r="B5" t="s">
        <v>8</v>
      </c>
      <c r="C5">
        <v>2227328.0274544</v>
      </c>
      <c r="D5">
        <v>424730.11095286201</v>
      </c>
      <c r="E5">
        <v>1336310.41159885</v>
      </c>
      <c r="F5">
        <v>7733.2614660444297</v>
      </c>
      <c r="G5">
        <v>103671.110605304</v>
      </c>
      <c r="H5">
        <v>743181.72655096895</v>
      </c>
      <c r="I5">
        <v>904521.04566570197</v>
      </c>
      <c r="J5">
        <v>-161339.31911473302</v>
      </c>
      <c r="K5">
        <v>14134.837564032299</v>
      </c>
      <c r="L5">
        <v>3952568.4405267602</v>
      </c>
      <c r="M5">
        <f t="shared" si="0"/>
        <v>14.616313231061355</v>
      </c>
      <c r="N5">
        <v>12.959209213135573</v>
      </c>
      <c r="O5">
        <f t="shared" si="1"/>
        <v>14.105422950102154</v>
      </c>
      <c r="P5">
        <f t="shared" si="2"/>
        <v>-11.991264998293223</v>
      </c>
      <c r="Q5">
        <v>15.189876163672144</v>
      </c>
    </row>
    <row r="6" spans="1:17" x14ac:dyDescent="0.3">
      <c r="A6" s="1">
        <v>2021</v>
      </c>
      <c r="B6" t="s">
        <v>5</v>
      </c>
      <c r="C6">
        <v>1828295.7985473</v>
      </c>
      <c r="D6">
        <v>379484.773604121</v>
      </c>
      <c r="E6">
        <v>1144394.7757280699</v>
      </c>
      <c r="F6">
        <v>37314.401134196298</v>
      </c>
      <c r="G6">
        <v>22377.576444939601</v>
      </c>
      <c r="H6">
        <v>785790.74443480105</v>
      </c>
      <c r="I6">
        <v>760671.01717536699</v>
      </c>
      <c r="J6">
        <v>25119.727259434061</v>
      </c>
      <c r="K6">
        <v>-86256.926925491294</v>
      </c>
      <c r="L6">
        <v>3350730.1257925699</v>
      </c>
      <c r="M6">
        <f t="shared" si="0"/>
        <v>14.418894833303399</v>
      </c>
      <c r="N6">
        <v>12.846569752757622</v>
      </c>
      <c r="O6">
        <f t="shared" si="1"/>
        <v>13.950386475072586</v>
      </c>
      <c r="P6">
        <f t="shared" si="2"/>
        <v>10.131408763016585</v>
      </c>
      <c r="Q6">
        <v>15.024688828051817</v>
      </c>
    </row>
    <row r="7" spans="1:17" x14ac:dyDescent="0.3">
      <c r="A7" s="1"/>
      <c r="B7" t="s">
        <v>6</v>
      </c>
      <c r="C7">
        <v>2109195.7663911399</v>
      </c>
      <c r="D7">
        <v>325629.71617564</v>
      </c>
      <c r="E7">
        <v>1227683.54582922</v>
      </c>
      <c r="F7">
        <v>40523.857275931499</v>
      </c>
      <c r="G7">
        <v>136470.644994717</v>
      </c>
      <c r="H7">
        <v>848921.88342262001</v>
      </c>
      <c r="I7">
        <v>885952.78742605902</v>
      </c>
      <c r="J7">
        <v>-37030.904003439005</v>
      </c>
      <c r="K7">
        <v>-130034.48883438901</v>
      </c>
      <c r="L7">
        <v>3672438.1378288199</v>
      </c>
      <c r="M7">
        <f t="shared" si="0"/>
        <v>14.561817279425712</v>
      </c>
      <c r="N7">
        <v>12.693516174841744</v>
      </c>
      <c r="O7">
        <f t="shared" si="1"/>
        <v>14.020639655643034</v>
      </c>
      <c r="P7">
        <f t="shared" si="2"/>
        <v>-10.519508086340945</v>
      </c>
      <c r="Q7">
        <v>15.116366342185456</v>
      </c>
    </row>
    <row r="8" spans="1:17" x14ac:dyDescent="0.3">
      <c r="A8" s="1"/>
      <c r="B8" t="s">
        <v>7</v>
      </c>
      <c r="C8">
        <v>2429098.4302506298</v>
      </c>
      <c r="D8">
        <v>329449.01735547901</v>
      </c>
      <c r="E8">
        <v>1220748.5847948301</v>
      </c>
      <c r="F8">
        <v>38512.833936374998</v>
      </c>
      <c r="G8">
        <v>74740.568796058695</v>
      </c>
      <c r="H8">
        <v>847631.52113472298</v>
      </c>
      <c r="I8">
        <v>930346.219117434</v>
      </c>
      <c r="J8">
        <v>-82714.697982711019</v>
      </c>
      <c r="K8">
        <v>-139726.95628431</v>
      </c>
      <c r="L8">
        <v>3870107.78086635</v>
      </c>
      <c r="M8">
        <f t="shared" si="0"/>
        <v>14.703030730115369</v>
      </c>
      <c r="N8">
        <v>12.705176893655711</v>
      </c>
      <c r="O8">
        <f t="shared" si="1"/>
        <v>14.014974822631677</v>
      </c>
      <c r="P8">
        <f t="shared" si="2"/>
        <v>-11.323152591734337</v>
      </c>
      <c r="Q8">
        <v>15.168792914971213</v>
      </c>
    </row>
    <row r="9" spans="1:17" x14ac:dyDescent="0.3">
      <c r="A9" s="1"/>
      <c r="B9" t="s">
        <v>8</v>
      </c>
      <c r="C9">
        <v>2365983.4054732402</v>
      </c>
      <c r="D9">
        <v>445830.34499907697</v>
      </c>
      <c r="E9">
        <v>1421436.2140764</v>
      </c>
      <c r="F9">
        <v>43851.900945223599</v>
      </c>
      <c r="G9">
        <v>49510.225172079299</v>
      </c>
      <c r="H9">
        <v>910763.02885166404</v>
      </c>
      <c r="I9">
        <v>966775.39618961001</v>
      </c>
      <c r="J9">
        <v>-56012.367337945965</v>
      </c>
      <c r="K9">
        <v>-142029.51425913299</v>
      </c>
      <c r="L9">
        <v>4128570.2090689298</v>
      </c>
      <c r="M9">
        <f t="shared" si="0"/>
        <v>14.676704309748299</v>
      </c>
      <c r="N9">
        <v>13.007693766255917</v>
      </c>
      <c r="O9">
        <f t="shared" si="1"/>
        <v>14.167178336802174</v>
      </c>
      <c r="P9">
        <f t="shared" si="2"/>
        <v>-10.933327790655012</v>
      </c>
      <c r="Q9">
        <v>15.233441708646076</v>
      </c>
    </row>
    <row r="10" spans="1:17" x14ac:dyDescent="0.3">
      <c r="A10" s="1">
        <v>2022</v>
      </c>
      <c r="B10" t="s">
        <v>5</v>
      </c>
      <c r="C10">
        <v>2182105.2638357799</v>
      </c>
      <c r="D10">
        <v>398510.42969683697</v>
      </c>
      <c r="E10">
        <v>1327515.3214477401</v>
      </c>
      <c r="F10">
        <v>48476.771281938301</v>
      </c>
      <c r="G10">
        <v>36360.826918218998</v>
      </c>
      <c r="H10">
        <v>909583.78649798199</v>
      </c>
      <c r="I10">
        <v>943759.29915309895</v>
      </c>
      <c r="J10">
        <v>-34175.512655116967</v>
      </c>
      <c r="K10">
        <v>-156024.02928378599</v>
      </c>
      <c r="L10">
        <v>3802769.07124162</v>
      </c>
      <c r="M10">
        <f t="shared" si="0"/>
        <v>14.595800686116124</v>
      </c>
      <c r="N10">
        <v>12.895488949258466</v>
      </c>
      <c r="O10">
        <f t="shared" si="1"/>
        <v>14.098819573611847</v>
      </c>
      <c r="P10">
        <f t="shared" si="2"/>
        <v>-10.439264662360895</v>
      </c>
      <c r="Q10">
        <v>15.151240062279847</v>
      </c>
    </row>
    <row r="11" spans="1:17" x14ac:dyDescent="0.3">
      <c r="A11" s="1"/>
      <c r="B11" t="s">
        <v>6</v>
      </c>
      <c r="C11">
        <v>2298644.0267722802</v>
      </c>
      <c r="D11">
        <v>322157.20117491402</v>
      </c>
      <c r="E11">
        <v>1306635.5157260399</v>
      </c>
      <c r="F11">
        <v>47748.822587964503</v>
      </c>
      <c r="G11">
        <v>112539.978114467</v>
      </c>
      <c r="H11">
        <v>920147.24643259705</v>
      </c>
      <c r="I11">
        <v>1010069.72905745</v>
      </c>
      <c r="J11">
        <v>-89922.482624852913</v>
      </c>
      <c r="K11">
        <v>-106552.336665603</v>
      </c>
      <c r="L11">
        <v>3891250.7250851998</v>
      </c>
      <c r="M11">
        <f t="shared" si="0"/>
        <v>14.647829953467063</v>
      </c>
      <c r="N11">
        <v>12.682794907801087</v>
      </c>
      <c r="O11">
        <f t="shared" si="1"/>
        <v>14.082966082808776</v>
      </c>
      <c r="P11">
        <f t="shared" si="2"/>
        <v>-11.406703274008544</v>
      </c>
      <c r="Q11">
        <v>15.174241187075284</v>
      </c>
    </row>
    <row r="12" spans="1:17" x14ac:dyDescent="0.3">
      <c r="A12" s="1"/>
      <c r="B12" t="s">
        <v>7</v>
      </c>
      <c r="C12">
        <v>2487580.8264557598</v>
      </c>
      <c r="D12">
        <v>337544.31153137499</v>
      </c>
      <c r="E12">
        <v>1302885.2665383001</v>
      </c>
      <c r="F12">
        <v>46641.926241692199</v>
      </c>
      <c r="G12">
        <v>47419.926177989502</v>
      </c>
      <c r="H12">
        <v>917180.027822932</v>
      </c>
      <c r="I12">
        <v>957144.01359511202</v>
      </c>
      <c r="J12">
        <v>-39963.985772180022</v>
      </c>
      <c r="K12">
        <v>-124530.487986812</v>
      </c>
      <c r="L12">
        <v>4057577.78318612</v>
      </c>
      <c r="M12">
        <f t="shared" si="0"/>
        <v>14.726821240534539</v>
      </c>
      <c r="N12">
        <v>12.72945207410279</v>
      </c>
      <c r="O12">
        <f t="shared" si="1"/>
        <v>14.080091798921005</v>
      </c>
      <c r="P12">
        <f t="shared" si="2"/>
        <v>-10.595733971836932</v>
      </c>
      <c r="Q12">
        <v>15.216096748411688</v>
      </c>
    </row>
    <row r="13" spans="1:17" x14ac:dyDescent="0.3">
      <c r="A13" s="1"/>
      <c r="B13" t="s">
        <v>8</v>
      </c>
      <c r="C13">
        <v>2416612.7448625001</v>
      </c>
      <c r="D13">
        <v>485779.51166209299</v>
      </c>
      <c r="E13">
        <v>1500688.66881955</v>
      </c>
      <c r="F13">
        <v>56309.401540921499</v>
      </c>
      <c r="G13">
        <v>38825.421721838</v>
      </c>
      <c r="H13">
        <v>996398.99063101294</v>
      </c>
      <c r="I13">
        <v>948895.65621899604</v>
      </c>
      <c r="J13">
        <v>47503.334412016906</v>
      </c>
      <c r="K13">
        <v>-132403.28700701499</v>
      </c>
      <c r="L13">
        <v>4413315.7960118996</v>
      </c>
      <c r="M13">
        <f t="shared" si="0"/>
        <v>14.697877425443131</v>
      </c>
      <c r="N13">
        <v>13.093510120231228</v>
      </c>
      <c r="O13">
        <f t="shared" si="1"/>
        <v>14.221434673258887</v>
      </c>
      <c r="P13">
        <f t="shared" si="2"/>
        <v>10.768555185706683</v>
      </c>
      <c r="Q13">
        <v>15.300136846083815</v>
      </c>
    </row>
    <row r="14" spans="1:17" x14ac:dyDescent="0.3">
      <c r="A14" s="1">
        <v>2023</v>
      </c>
      <c r="B14" t="s">
        <v>5</v>
      </c>
      <c r="C14">
        <v>2343902.7814108101</v>
      </c>
      <c r="D14">
        <v>419571.41714211402</v>
      </c>
      <c r="E14">
        <v>1439563.7149368201</v>
      </c>
      <c r="F14">
        <v>71042.628633809902</v>
      </c>
      <c r="G14">
        <v>27109.187899373101</v>
      </c>
      <c r="H14">
        <v>846035.170235764</v>
      </c>
      <c r="I14">
        <v>1114042.03101676</v>
      </c>
      <c r="J14">
        <v>-268006.86078099604</v>
      </c>
      <c r="K14">
        <v>136931.57429322699</v>
      </c>
      <c r="L14">
        <v>4170114.4435351598</v>
      </c>
      <c r="M14">
        <f t="shared" si="0"/>
        <v>14.667327953311574</v>
      </c>
      <c r="N14">
        <v>12.946989033884993</v>
      </c>
      <c r="O14">
        <f t="shared" si="1"/>
        <v>14.179850649907442</v>
      </c>
      <c r="P14">
        <f t="shared" si="2"/>
        <v>-12.498767859094411</v>
      </c>
      <c r="Q14">
        <v>15.243454037891235</v>
      </c>
    </row>
    <row r="15" spans="1:17" x14ac:dyDescent="0.3">
      <c r="A15" s="1"/>
      <c r="B15" t="s">
        <v>6</v>
      </c>
      <c r="C15">
        <v>2366538.7444699602</v>
      </c>
      <c r="D15">
        <v>387039.72118401999</v>
      </c>
      <c r="E15">
        <v>1459663.41905561</v>
      </c>
      <c r="F15">
        <v>76306.088183779502</v>
      </c>
      <c r="G15">
        <v>105307.898703713</v>
      </c>
      <c r="H15">
        <v>962377.54518132203</v>
      </c>
      <c r="I15">
        <v>1154462.81088535</v>
      </c>
      <c r="J15">
        <v>-192085.26570402796</v>
      </c>
      <c r="K15">
        <v>52035.187669191</v>
      </c>
      <c r="L15">
        <v>4254805.79356224</v>
      </c>
      <c r="M15">
        <f t="shared" si="0"/>
        <v>14.676939000250181</v>
      </c>
      <c r="N15">
        <v>12.866282605463324</v>
      </c>
      <c r="O15">
        <f t="shared" si="1"/>
        <v>14.193716432213849</v>
      </c>
      <c r="P15">
        <f t="shared" si="2"/>
        <v>-12.165694644638638</v>
      </c>
      <c r="Q15">
        <v>15.263559677011967</v>
      </c>
    </row>
    <row r="16" spans="1:17" x14ac:dyDescent="0.3">
      <c r="A16" s="1"/>
      <c r="B16" t="s">
        <v>7</v>
      </c>
      <c r="C16">
        <v>2629134.9677002202</v>
      </c>
      <c r="D16">
        <v>345292.44756121701</v>
      </c>
      <c r="E16">
        <v>1424622.10592143</v>
      </c>
      <c r="F16">
        <v>72654.473443283307</v>
      </c>
      <c r="G16">
        <v>73370.922042379796</v>
      </c>
      <c r="H16">
        <v>944237.85508090805</v>
      </c>
      <c r="I16">
        <v>1065420.3627811</v>
      </c>
      <c r="J16">
        <v>-121182.50770019193</v>
      </c>
      <c r="K16">
        <v>19745.8336929574</v>
      </c>
      <c r="L16">
        <v>4443638.2426613001</v>
      </c>
      <c r="M16">
        <f t="shared" si="0"/>
        <v>14.782165440431626</v>
      </c>
      <c r="N16">
        <v>12.752147011031202</v>
      </c>
      <c r="O16">
        <f t="shared" si="1"/>
        <v>14.169417147689046</v>
      </c>
      <c r="P16">
        <f t="shared" si="2"/>
        <v>-11.705053016295357</v>
      </c>
      <c r="Q16">
        <v>15.306984022886647</v>
      </c>
    </row>
    <row r="17" spans="1:17" x14ac:dyDescent="0.3">
      <c r="A17" s="1"/>
      <c r="B17" t="s">
        <v>8</v>
      </c>
      <c r="C17">
        <v>517771.66862636199</v>
      </c>
      <c r="D17">
        <v>2567197.99454206</v>
      </c>
      <c r="E17">
        <v>1591438.92931432</v>
      </c>
      <c r="F17">
        <v>85606.809739127304</v>
      </c>
      <c r="G17">
        <v>63318.228509912602</v>
      </c>
      <c r="H17">
        <v>1072843.76502474</v>
      </c>
      <c r="I17">
        <v>1056689.2131020201</v>
      </c>
      <c r="J17">
        <v>16154.551922719926</v>
      </c>
      <c r="K17">
        <v>-59455.714174811001</v>
      </c>
      <c r="L17">
        <v>4782032.4684796799</v>
      </c>
      <c r="M17">
        <f t="shared" si="0"/>
        <v>13.157289629905716</v>
      </c>
      <c r="N17">
        <v>14.758325587592553</v>
      </c>
      <c r="O17">
        <f t="shared" si="1"/>
        <v>14.28014915193272</v>
      </c>
      <c r="P17">
        <f t="shared" si="2"/>
        <v>9.689957141737759</v>
      </c>
      <c r="Q17">
        <v>15.380376216705438</v>
      </c>
    </row>
    <row r="18" spans="1:17" x14ac:dyDescent="0.3">
      <c r="A18" s="1">
        <v>2024</v>
      </c>
      <c r="B18" t="s">
        <v>5</v>
      </c>
      <c r="C18">
        <v>2537917.2562652202</v>
      </c>
      <c r="D18">
        <v>418344.473523024</v>
      </c>
      <c r="E18">
        <v>1535296.5488082001</v>
      </c>
      <c r="F18">
        <v>76390.054691567595</v>
      </c>
      <c r="G18">
        <v>20848.8664395015</v>
      </c>
      <c r="H18">
        <v>916189.14140923298</v>
      </c>
      <c r="I18">
        <v>1096706.4136169699</v>
      </c>
      <c r="J18">
        <v>-180517.27220773697</v>
      </c>
      <c r="K18">
        <v>33384.018635247798</v>
      </c>
      <c r="L18">
        <v>4441663.94615502</v>
      </c>
      <c r="M18">
        <f t="shared" si="0"/>
        <v>14.746854324780658</v>
      </c>
      <c r="N18">
        <v>12.944060471460856</v>
      </c>
      <c r="O18">
        <f t="shared" si="1"/>
        <v>14.244234111750371</v>
      </c>
      <c r="P18">
        <f t="shared" si="2"/>
        <v>-12.10358174307858</v>
      </c>
      <c r="Q18">
        <v>15.306539626849954</v>
      </c>
    </row>
    <row r="19" spans="1:17" x14ac:dyDescent="0.3">
      <c r="A19" s="1"/>
      <c r="B19" t="s">
        <v>6</v>
      </c>
      <c r="C19">
        <v>2518253.5827345201</v>
      </c>
      <c r="D19">
        <v>403592.45669897</v>
      </c>
      <c r="E19">
        <v>1557503.2266534599</v>
      </c>
      <c r="F19">
        <v>77908.348784656206</v>
      </c>
      <c r="G19">
        <v>132481.65372754299</v>
      </c>
      <c r="H19">
        <v>991507.51827557897</v>
      </c>
      <c r="I19">
        <v>1166500.4868775799</v>
      </c>
      <c r="J19">
        <v>-174992.96860200097</v>
      </c>
      <c r="K19">
        <v>-21159.740113370601</v>
      </c>
      <c r="L19">
        <v>4493586.5598837798</v>
      </c>
      <c r="M19">
        <f t="shared" si="0"/>
        <v>14.739076196511954</v>
      </c>
      <c r="N19">
        <v>12.908160877244734</v>
      </c>
      <c r="O19">
        <f t="shared" si="1"/>
        <v>14.258594601329214</v>
      </c>
      <c r="P19">
        <f t="shared" si="2"/>
        <v>-12.0725010726813</v>
      </c>
      <c r="Q19">
        <v>15.318161729249603</v>
      </c>
    </row>
    <row r="20" spans="1:17" x14ac:dyDescent="0.3">
      <c r="A20" s="1"/>
      <c r="B20" t="s">
        <v>7</v>
      </c>
      <c r="C20">
        <v>2843368.35942683</v>
      </c>
      <c r="D20">
        <v>377374.23547327798</v>
      </c>
      <c r="E20">
        <v>1499134.3260570399</v>
      </c>
      <c r="F20">
        <v>75228.310157673099</v>
      </c>
      <c r="G20">
        <v>72973.906703160901</v>
      </c>
      <c r="H20">
        <v>1046234.31575936</v>
      </c>
      <c r="I20">
        <v>1043395.03140333</v>
      </c>
      <c r="J20">
        <v>2839.284356029937</v>
      </c>
      <c r="K20">
        <v>-144376.59234606</v>
      </c>
      <c r="L20">
        <v>4726541.8298279596</v>
      </c>
      <c r="M20">
        <f t="shared" si="0"/>
        <v>14.860499949396855</v>
      </c>
      <c r="N20">
        <v>12.840992641099907</v>
      </c>
      <c r="O20">
        <f t="shared" si="1"/>
        <v>14.220398383514949</v>
      </c>
      <c r="P20">
        <f t="shared" si="2"/>
        <v>7.951307312087712</v>
      </c>
      <c r="Q20">
        <v>15.368704378872513</v>
      </c>
    </row>
    <row r="21" spans="1:17" x14ac:dyDescent="0.3">
      <c r="A21" s="1"/>
      <c r="B21" t="s">
        <v>8</v>
      </c>
      <c r="C21">
        <v>2720039.3694086499</v>
      </c>
      <c r="D21">
        <v>508418.53459961602</v>
      </c>
      <c r="E21">
        <v>1741150.1233182801</v>
      </c>
      <c r="F21">
        <v>89700.787776992802</v>
      </c>
      <c r="G21">
        <v>44453.329873422997</v>
      </c>
      <c r="H21">
        <v>1114167.20253504</v>
      </c>
      <c r="I21">
        <v>922787.570353157</v>
      </c>
      <c r="J21">
        <v>191379.63218188297</v>
      </c>
      <c r="K21">
        <v>-159978.66912705399</v>
      </c>
      <c r="L21">
        <v>5135163.1080317898</v>
      </c>
      <c r="M21">
        <f t="shared" si="0"/>
        <v>14.81615691221473</v>
      </c>
      <c r="N21">
        <v>13.139060274359137</v>
      </c>
      <c r="O21">
        <f t="shared" si="1"/>
        <v>14.37005644324557</v>
      </c>
      <c r="P21">
        <f t="shared" si="2"/>
        <v>12.162014337405829</v>
      </c>
      <c r="Q21">
        <v>15.451622164819257</v>
      </c>
    </row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197D-A020-4FFA-AED2-FE4CBEFA4D62}">
  <dimension ref="A1:Q21"/>
  <sheetViews>
    <sheetView tabSelected="1" topLeftCell="A7" zoomScaleNormal="100" workbookViewId="0">
      <selection activeCell="F28" sqref="F28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</v>
      </c>
      <c r="K1" t="s">
        <v>20</v>
      </c>
      <c r="L1" t="s">
        <v>19</v>
      </c>
      <c r="M1" t="s">
        <v>10</v>
      </c>
      <c r="N1" t="s">
        <v>3</v>
      </c>
      <c r="O1" t="s">
        <v>11</v>
      </c>
      <c r="P1" t="s">
        <v>9</v>
      </c>
      <c r="Q1" t="s">
        <v>4</v>
      </c>
    </row>
    <row r="2" spans="1:17" x14ac:dyDescent="0.3">
      <c r="A2" s="1">
        <v>2015</v>
      </c>
      <c r="B2" t="s">
        <v>5</v>
      </c>
      <c r="C2">
        <v>1517933</v>
      </c>
      <c r="D2">
        <v>291843</v>
      </c>
      <c r="E2">
        <v>838302</v>
      </c>
      <c r="F2">
        <v>58664</v>
      </c>
      <c r="G2">
        <v>41485</v>
      </c>
      <c r="H2">
        <v>582461</v>
      </c>
      <c r="I2">
        <v>624902</v>
      </c>
      <c r="J2">
        <v>-42441</v>
      </c>
      <c r="K2">
        <v>22492</v>
      </c>
      <c r="L2">
        <v>2728279</v>
      </c>
      <c r="M2">
        <f>LN(C2)</f>
        <v>14.232860098941247</v>
      </c>
      <c r="N2">
        <v>12.583971265420532</v>
      </c>
      <c r="O2">
        <f>LN(E2)</f>
        <v>13.639133696403849</v>
      </c>
      <c r="P2">
        <f>SIGN( J2) * LN(ABS(J2))</f>
        <v>-10.655870155127044</v>
      </c>
      <c r="Q2">
        <v>14.819181565443264</v>
      </c>
    </row>
    <row r="3" spans="1:17" x14ac:dyDescent="0.3">
      <c r="A3" s="1"/>
      <c r="B3" t="s">
        <v>6</v>
      </c>
      <c r="C3">
        <v>1513130</v>
      </c>
      <c r="D3">
        <v>335329</v>
      </c>
      <c r="E3">
        <v>844359</v>
      </c>
      <c r="F3">
        <v>59498</v>
      </c>
      <c r="G3">
        <v>48495</v>
      </c>
      <c r="H3">
        <v>596859</v>
      </c>
      <c r="I3">
        <v>656933</v>
      </c>
      <c r="J3">
        <v>-60074</v>
      </c>
      <c r="K3">
        <v>27350</v>
      </c>
      <c r="L3">
        <v>2768087</v>
      </c>
      <c r="M3">
        <f t="shared" ref="M3:M21" si="0">LN(C3)</f>
        <v>14.229690911088662</v>
      </c>
      <c r="N3">
        <v>12.722867418425007</v>
      </c>
      <c r="O3">
        <f t="shared" ref="O3:O21" si="1">LN(E3)</f>
        <v>13.646333038590345</v>
      </c>
      <c r="P3">
        <f t="shared" ref="P3:P21" si="2">SIGN( J3) * LN(ABS(J3))</f>
        <v>-11.003332414606783</v>
      </c>
      <c r="Q3">
        <v>14.833667025861603</v>
      </c>
    </row>
    <row r="4" spans="1:17" x14ac:dyDescent="0.3">
      <c r="A4" s="1"/>
      <c r="B4" t="s">
        <v>7</v>
      </c>
      <c r="C4">
        <v>1633448</v>
      </c>
      <c r="D4">
        <v>272799</v>
      </c>
      <c r="E4">
        <v>874855</v>
      </c>
      <c r="F4">
        <v>56668</v>
      </c>
      <c r="G4">
        <v>45507</v>
      </c>
      <c r="H4">
        <v>578983</v>
      </c>
      <c r="I4">
        <v>614330</v>
      </c>
      <c r="J4">
        <v>-35347</v>
      </c>
      <c r="K4">
        <v>-11544</v>
      </c>
      <c r="L4">
        <v>2836387</v>
      </c>
      <c r="M4">
        <f t="shared" si="0"/>
        <v>14.306203676030187</v>
      </c>
      <c r="N4">
        <v>12.516490539255576</v>
      </c>
      <c r="O4">
        <f t="shared" si="1"/>
        <v>13.681813437321908</v>
      </c>
      <c r="P4">
        <f t="shared" si="2"/>
        <v>-10.472968802094007</v>
      </c>
      <c r="Q4">
        <v>14.858041617126903</v>
      </c>
    </row>
    <row r="5" spans="1:17" x14ac:dyDescent="0.3">
      <c r="A5" s="1"/>
      <c r="B5" t="s">
        <v>8</v>
      </c>
      <c r="C5">
        <v>1716907</v>
      </c>
      <c r="D5">
        <v>232831</v>
      </c>
      <c r="E5">
        <v>934667</v>
      </c>
      <c r="F5">
        <v>64727</v>
      </c>
      <c r="G5">
        <v>50499</v>
      </c>
      <c r="H5">
        <v>611978</v>
      </c>
      <c r="I5">
        <v>615375</v>
      </c>
      <c r="J5">
        <v>-3397</v>
      </c>
      <c r="K5">
        <v>40504</v>
      </c>
      <c r="L5">
        <v>3036738</v>
      </c>
      <c r="M5">
        <f t="shared" si="0"/>
        <v>14.356034974172724</v>
      </c>
      <c r="N5">
        <v>12.358068147486239</v>
      </c>
      <c r="O5">
        <f t="shared" si="1"/>
        <v>13.747945595101825</v>
      </c>
      <c r="P5">
        <f t="shared" si="2"/>
        <v>-8.1306479681605843</v>
      </c>
      <c r="Q5">
        <v>14.926294470961723</v>
      </c>
    </row>
    <row r="6" spans="1:17" x14ac:dyDescent="0.3">
      <c r="A6" s="1">
        <v>2016</v>
      </c>
      <c r="B6" t="s">
        <v>5</v>
      </c>
      <c r="C6">
        <v>1623632.8085153</v>
      </c>
      <c r="D6">
        <v>298932.95608064701</v>
      </c>
      <c r="E6">
        <v>953527.40408224496</v>
      </c>
      <c r="F6">
        <v>30561.5738970522</v>
      </c>
      <c r="G6">
        <v>35095.0852328447</v>
      </c>
      <c r="H6">
        <v>603117.80986365199</v>
      </c>
      <c r="I6">
        <v>627452.85388645204</v>
      </c>
      <c r="J6">
        <v>-24335.044022800052</v>
      </c>
      <c r="K6">
        <v>47672.993579957503</v>
      </c>
      <c r="L6">
        <v>2965087.77736525</v>
      </c>
      <c r="M6">
        <f t="shared" si="0"/>
        <v>14.300176671007621</v>
      </c>
      <c r="N6">
        <v>12.60797460007513</v>
      </c>
      <c r="O6">
        <f t="shared" si="1"/>
        <v>13.767923444125861</v>
      </c>
      <c r="P6">
        <f t="shared" si="2"/>
        <v>-10.099672731298179</v>
      </c>
      <c r="Q6">
        <v>14.902417194483432</v>
      </c>
    </row>
    <row r="7" spans="1:17" x14ac:dyDescent="0.3">
      <c r="A7" s="1"/>
      <c r="B7" t="s">
        <v>6</v>
      </c>
      <c r="C7">
        <v>1658457.3376242199</v>
      </c>
      <c r="D7">
        <v>343179.35067603103</v>
      </c>
      <c r="E7">
        <v>913934.78740184603</v>
      </c>
      <c r="F7">
        <v>30378.286239289599</v>
      </c>
      <c r="G7">
        <v>37226.325012095098</v>
      </c>
      <c r="H7">
        <v>611524.27016591094</v>
      </c>
      <c r="I7">
        <v>656241.39936343394</v>
      </c>
      <c r="J7">
        <v>-44717.129197522998</v>
      </c>
      <c r="K7">
        <v>97296.867591050701</v>
      </c>
      <c r="L7">
        <v>3035755.82534701</v>
      </c>
      <c r="M7">
        <f t="shared" si="0"/>
        <v>14.321398413567916</v>
      </c>
      <c r="N7">
        <v>12.746008477757954</v>
      </c>
      <c r="O7">
        <f t="shared" si="1"/>
        <v>13.725514499315196</v>
      </c>
      <c r="P7">
        <f t="shared" si="2"/>
        <v>-10.708111910721946</v>
      </c>
      <c r="Q7">
        <v>14.925970987829487</v>
      </c>
    </row>
    <row r="8" spans="1:17" x14ac:dyDescent="0.3">
      <c r="A8" s="1"/>
      <c r="B8" t="s">
        <v>7</v>
      </c>
      <c r="C8">
        <v>1816561.26539888</v>
      </c>
      <c r="D8">
        <v>289775.40326933301</v>
      </c>
      <c r="E8">
        <v>933180.01797856903</v>
      </c>
      <c r="F8">
        <v>29099.7583763205</v>
      </c>
      <c r="G8">
        <v>35698.266302443903</v>
      </c>
      <c r="H8">
        <v>618791.546673559</v>
      </c>
      <c r="I8">
        <v>679557.01127666503</v>
      </c>
      <c r="J8">
        <v>-60765.464603106026</v>
      </c>
      <c r="K8">
        <v>36072.366407501497</v>
      </c>
      <c r="L8">
        <v>3079621.6131299399</v>
      </c>
      <c r="M8">
        <f t="shared" si="0"/>
        <v>14.412455857241659</v>
      </c>
      <c r="N8">
        <v>12.576861430419623</v>
      </c>
      <c r="O8">
        <f t="shared" si="1"/>
        <v>13.746353406532577</v>
      </c>
      <c r="P8">
        <f t="shared" si="2"/>
        <v>-11.014776890175549</v>
      </c>
      <c r="Q8">
        <v>14.940317294522835</v>
      </c>
    </row>
    <row r="9" spans="1:17" x14ac:dyDescent="0.3">
      <c r="A9" s="1"/>
      <c r="B9" t="s">
        <v>8</v>
      </c>
      <c r="C9">
        <v>1801584.5937280599</v>
      </c>
      <c r="D9">
        <v>269710.36298071902</v>
      </c>
      <c r="E9">
        <v>986925.090986914</v>
      </c>
      <c r="F9">
        <v>32599.715408467699</v>
      </c>
      <c r="G9">
        <v>43459.196064619799</v>
      </c>
      <c r="H9">
        <v>654988.95269624703</v>
      </c>
      <c r="I9">
        <v>658341.51662391098</v>
      </c>
      <c r="J9">
        <v>-3352.5639276639558</v>
      </c>
      <c r="K9">
        <v>96801.916646649406</v>
      </c>
      <c r="L9">
        <v>3227728.31188777</v>
      </c>
      <c r="M9">
        <f t="shared" si="0"/>
        <v>14.404177165452257</v>
      </c>
      <c r="N9">
        <v>12.505103932493153</v>
      </c>
      <c r="O9">
        <f t="shared" si="1"/>
        <v>13.802349419878775</v>
      </c>
      <c r="P9">
        <f t="shared" si="2"/>
        <v>-8.1174806836284521</v>
      </c>
      <c r="Q9">
        <v>14.987289138747958</v>
      </c>
    </row>
    <row r="10" spans="1:17" x14ac:dyDescent="0.3">
      <c r="A10" s="1">
        <v>2017</v>
      </c>
      <c r="B10" t="s">
        <v>5</v>
      </c>
      <c r="C10">
        <v>1763224.96201902</v>
      </c>
      <c r="D10">
        <v>363307.43188051198</v>
      </c>
      <c r="E10">
        <v>963708.69843430095</v>
      </c>
      <c r="F10">
        <v>47837.280429844599</v>
      </c>
      <c r="G10">
        <v>69319.135412405201</v>
      </c>
      <c r="H10">
        <v>626932.70178857702</v>
      </c>
      <c r="I10">
        <v>763828.394874349</v>
      </c>
      <c r="J10">
        <v>-136895.69308577199</v>
      </c>
      <c r="K10">
        <v>75834.467633269</v>
      </c>
      <c r="L10">
        <v>3146336.28272358</v>
      </c>
      <c r="M10">
        <f t="shared" si="0"/>
        <v>14.382655055065463</v>
      </c>
      <c r="N10">
        <v>12.803004674593817</v>
      </c>
      <c r="O10">
        <f t="shared" si="1"/>
        <v>13.778544347879686</v>
      </c>
      <c r="P10">
        <f t="shared" si="2"/>
        <v>-11.826974550487805</v>
      </c>
      <c r="Q10">
        <v>14.961749249044056</v>
      </c>
    </row>
    <row r="11" spans="1:17" x14ac:dyDescent="0.3">
      <c r="A11" s="1"/>
      <c r="B11" t="s">
        <v>6</v>
      </c>
      <c r="C11">
        <v>1738953.32281788</v>
      </c>
      <c r="D11">
        <v>368364.43107638299</v>
      </c>
      <c r="E11">
        <v>972543.44585247396</v>
      </c>
      <c r="F11">
        <v>51708.810155671003</v>
      </c>
      <c r="G11">
        <v>51039.546098124301</v>
      </c>
      <c r="H11">
        <v>639985.64817568101</v>
      </c>
      <c r="I11">
        <v>725604.21181534603</v>
      </c>
      <c r="J11">
        <v>-85618.563639665022</v>
      </c>
      <c r="K11">
        <v>100204.492936956</v>
      </c>
      <c r="L11">
        <v>3197195.4852978298</v>
      </c>
      <c r="M11">
        <f t="shared" si="0"/>
        <v>14.36879395158336</v>
      </c>
      <c r="N11">
        <v>12.816828028963689</v>
      </c>
      <c r="O11">
        <f t="shared" si="1"/>
        <v>13.787670027875299</v>
      </c>
      <c r="P11">
        <f t="shared" si="2"/>
        <v>-11.357657403567387</v>
      </c>
      <c r="Q11">
        <v>14.977784572653006</v>
      </c>
    </row>
    <row r="12" spans="1:17" x14ac:dyDescent="0.3">
      <c r="A12" s="1"/>
      <c r="B12" t="s">
        <v>7</v>
      </c>
      <c r="C12">
        <v>1892042.0883111199</v>
      </c>
      <c r="D12">
        <v>319987.05763617897</v>
      </c>
      <c r="E12">
        <v>1019643.77432937</v>
      </c>
      <c r="F12">
        <v>50223.218981981503</v>
      </c>
      <c r="G12">
        <v>43541.081930916996</v>
      </c>
      <c r="H12">
        <v>646679.43910732202</v>
      </c>
      <c r="I12">
        <v>775329.786370371</v>
      </c>
      <c r="J12">
        <v>-128650.34726304899</v>
      </c>
      <c r="K12">
        <v>88204.781653740298</v>
      </c>
      <c r="L12">
        <v>3284991.6555802599</v>
      </c>
      <c r="M12">
        <f t="shared" si="0"/>
        <v>14.453167273754104</v>
      </c>
      <c r="N12">
        <v>12.676035829071052</v>
      </c>
      <c r="O12">
        <f t="shared" si="1"/>
        <v>13.834963883408106</v>
      </c>
      <c r="P12">
        <f t="shared" si="2"/>
        <v>-11.76485351699151</v>
      </c>
      <c r="Q12">
        <v>15.004874669739406</v>
      </c>
    </row>
    <row r="13" spans="1:17" x14ac:dyDescent="0.3">
      <c r="A13" s="1"/>
      <c r="B13" t="s">
        <v>8</v>
      </c>
      <c r="C13">
        <v>1936508.1124603499</v>
      </c>
      <c r="D13">
        <v>293183.71248967299</v>
      </c>
      <c r="E13">
        <v>1127183.17229882</v>
      </c>
      <c r="F13">
        <v>56666.956806460701</v>
      </c>
      <c r="G13">
        <v>48406.752012749297</v>
      </c>
      <c r="H13">
        <v>688414.00899323297</v>
      </c>
      <c r="I13">
        <v>813511.41473913705</v>
      </c>
      <c r="J13">
        <v>-125097.40574590408</v>
      </c>
      <c r="K13">
        <v>179207.05136734099</v>
      </c>
      <c r="L13">
        <v>3516058.35168949</v>
      </c>
      <c r="M13">
        <f t="shared" si="0"/>
        <v>14.476396967166666</v>
      </c>
      <c r="N13">
        <v>12.588554696597852</v>
      </c>
      <c r="O13">
        <f t="shared" si="1"/>
        <v>13.935232310692593</v>
      </c>
      <c r="P13">
        <f t="shared" si="2"/>
        <v>-11.736847958797165</v>
      </c>
      <c r="Q13">
        <v>15.072851133693147</v>
      </c>
    </row>
    <row r="14" spans="1:17" x14ac:dyDescent="0.3">
      <c r="A14" s="1">
        <v>2018</v>
      </c>
      <c r="B14" t="s">
        <v>5</v>
      </c>
      <c r="C14">
        <v>1874397.69278345</v>
      </c>
      <c r="D14">
        <v>387340.68707232899</v>
      </c>
      <c r="E14">
        <v>1102111.83856336</v>
      </c>
      <c r="F14">
        <v>63762.313445093503</v>
      </c>
      <c r="G14">
        <v>46449.273086232301</v>
      </c>
      <c r="H14">
        <v>684204.37971571495</v>
      </c>
      <c r="I14">
        <v>804000.27488552697</v>
      </c>
      <c r="J14">
        <v>-119795.89516981202</v>
      </c>
      <c r="K14">
        <v>28034.916472070901</v>
      </c>
      <c r="L14">
        <v>3382300.8262527199</v>
      </c>
      <c r="M14">
        <f t="shared" si="0"/>
        <v>14.443797935265581</v>
      </c>
      <c r="N14">
        <v>12.867059913102448</v>
      </c>
      <c r="O14">
        <f t="shared" si="1"/>
        <v>13.912738750445151</v>
      </c>
      <c r="P14">
        <f t="shared" si="2"/>
        <v>-11.69354470005152</v>
      </c>
      <c r="Q14">
        <v>15.03406675370216</v>
      </c>
    </row>
    <row r="15" spans="1:17" x14ac:dyDescent="0.3">
      <c r="A15" s="1"/>
      <c r="B15" t="s">
        <v>6</v>
      </c>
      <c r="C15">
        <v>1888258.48730285</v>
      </c>
      <c r="D15">
        <v>398077.819816523</v>
      </c>
      <c r="E15">
        <v>1097684.6198217601</v>
      </c>
      <c r="F15">
        <v>65794.909510803001</v>
      </c>
      <c r="G15">
        <v>50462.132051412998</v>
      </c>
      <c r="H15">
        <v>717628.25449189101</v>
      </c>
      <c r="I15">
        <v>856914.67719801597</v>
      </c>
      <c r="J15">
        <v>-139286.42270612495</v>
      </c>
      <c r="K15">
        <v>42652.6445326135</v>
      </c>
      <c r="L15">
        <v>3403644.1903298399</v>
      </c>
      <c r="M15">
        <f t="shared" si="0"/>
        <v>14.451165526963871</v>
      </c>
      <c r="N15">
        <v>12.894402792330821</v>
      </c>
      <c r="O15">
        <f t="shared" si="1"/>
        <v>13.908713628300726</v>
      </c>
      <c r="P15">
        <f t="shared" si="2"/>
        <v>-11.844287687006993</v>
      </c>
      <c r="Q15">
        <v>15.040357236281952</v>
      </c>
    </row>
    <row r="16" spans="1:17" x14ac:dyDescent="0.3">
      <c r="A16" s="1"/>
      <c r="B16" t="s">
        <v>7</v>
      </c>
      <c r="C16">
        <v>2033402.71703181</v>
      </c>
      <c r="D16">
        <v>331282.77585026697</v>
      </c>
      <c r="E16">
        <v>1150660.2960944399</v>
      </c>
      <c r="F16">
        <v>63606.692842943303</v>
      </c>
      <c r="G16">
        <v>44382.564606311003</v>
      </c>
      <c r="H16">
        <v>744836.569347554</v>
      </c>
      <c r="I16">
        <v>869202.81034995604</v>
      </c>
      <c r="J16">
        <v>-124366.24100240204</v>
      </c>
      <c r="K16">
        <v>-9207.9162286549108</v>
      </c>
      <c r="L16">
        <v>3489760.8891947102</v>
      </c>
      <c r="M16">
        <f t="shared" si="0"/>
        <v>14.525221163023648</v>
      </c>
      <c r="N16">
        <v>12.710727597350811</v>
      </c>
      <c r="O16">
        <f t="shared" si="1"/>
        <v>13.955846506083514</v>
      </c>
      <c r="P16">
        <f t="shared" si="2"/>
        <v>-11.730986047879711</v>
      </c>
      <c r="Q16">
        <v>15.065343778706755</v>
      </c>
    </row>
    <row r="17" spans="1:17" x14ac:dyDescent="0.3">
      <c r="A17" s="1"/>
      <c r="B17" t="s">
        <v>8</v>
      </c>
      <c r="C17">
        <v>2054385.0023599199</v>
      </c>
      <c r="D17">
        <v>318243.91437113198</v>
      </c>
      <c r="E17">
        <v>1190052.48714929</v>
      </c>
      <c r="F17">
        <v>69606.8780258849</v>
      </c>
      <c r="G17">
        <v>50410.464339414902</v>
      </c>
      <c r="H17">
        <v>765811.27906649001</v>
      </c>
      <c r="I17">
        <v>819742.80862704804</v>
      </c>
      <c r="J17">
        <v>-53931.529560558032</v>
      </c>
      <c r="K17">
        <v>88442.821557712698</v>
      </c>
      <c r="L17">
        <v>3717210.0382428002</v>
      </c>
      <c r="M17">
        <f t="shared" si="0"/>
        <v>14.535487092197977</v>
      </c>
      <c r="N17">
        <v>12.670573394072273</v>
      </c>
      <c r="O17">
        <f t="shared" si="1"/>
        <v>13.989507970963176</v>
      </c>
      <c r="P17">
        <f t="shared" si="2"/>
        <v>-10.895470549890105</v>
      </c>
      <c r="Q17">
        <v>15.128483955146663</v>
      </c>
    </row>
    <row r="18" spans="1:17" x14ac:dyDescent="0.3">
      <c r="A18" s="1">
        <v>2019</v>
      </c>
      <c r="B18" t="s">
        <v>5</v>
      </c>
      <c r="C18">
        <v>2008912.72553084</v>
      </c>
      <c r="D18">
        <v>379818.85559954098</v>
      </c>
      <c r="E18">
        <v>1192377.5011338401</v>
      </c>
      <c r="F18">
        <v>27156.492846291399</v>
      </c>
      <c r="G18">
        <v>43887.305886682603</v>
      </c>
      <c r="H18">
        <v>703218.98845396505</v>
      </c>
      <c r="I18">
        <v>877901.44455059501</v>
      </c>
      <c r="J18">
        <v>-174682.45609662996</v>
      </c>
      <c r="K18">
        <v>77171.0845628815</v>
      </c>
      <c r="L18">
        <v>3554641.5094634402</v>
      </c>
      <c r="M18">
        <f t="shared" si="0"/>
        <v>14.513104201106731</v>
      </c>
      <c r="N18">
        <v>12.847449722256327</v>
      </c>
      <c r="O18">
        <f t="shared" si="1"/>
        <v>13.991459772052051</v>
      </c>
      <c r="P18">
        <f t="shared" si="2"/>
        <v>-12.070725068049251</v>
      </c>
      <c r="Q18">
        <v>15.083764774914812</v>
      </c>
    </row>
    <row r="19" spans="1:17" x14ac:dyDescent="0.3">
      <c r="A19" s="1"/>
      <c r="B19" t="s">
        <v>6</v>
      </c>
      <c r="C19">
        <v>2004358.17660903</v>
      </c>
      <c r="D19">
        <v>420438.90797546197</v>
      </c>
      <c r="E19">
        <v>1089055.63405753</v>
      </c>
      <c r="F19">
        <v>27009.340272330901</v>
      </c>
      <c r="G19">
        <v>44241.7802803827</v>
      </c>
      <c r="H19">
        <v>705137.90369359695</v>
      </c>
      <c r="I19">
        <v>837949.40058036195</v>
      </c>
      <c r="J19">
        <v>-132811.496886765</v>
      </c>
      <c r="K19">
        <v>97653.111305001497</v>
      </c>
      <c r="L19">
        <v>3549945.45361298</v>
      </c>
      <c r="M19">
        <f t="shared" si="0"/>
        <v>14.510834456059268</v>
      </c>
      <c r="N19">
        <v>12.949054463596514</v>
      </c>
      <c r="O19">
        <f t="shared" si="1"/>
        <v>13.900821487899011</v>
      </c>
      <c r="P19">
        <f t="shared" si="2"/>
        <v>-11.796686085219758</v>
      </c>
      <c r="Q19">
        <v>15.08244279615411</v>
      </c>
    </row>
    <row r="20" spans="1:17" x14ac:dyDescent="0.3">
      <c r="A20" s="1"/>
      <c r="B20" t="s">
        <v>7</v>
      </c>
      <c r="C20">
        <v>2155033.01297735</v>
      </c>
      <c r="D20">
        <v>347494.57303810801</v>
      </c>
      <c r="E20">
        <v>1130774.9450008899</v>
      </c>
      <c r="F20">
        <v>26136.3692495133</v>
      </c>
      <c r="G20">
        <v>37118.532940313402</v>
      </c>
      <c r="H20">
        <v>706925.66093924001</v>
      </c>
      <c r="I20">
        <v>807596.54685120401</v>
      </c>
      <c r="J20">
        <v>-100670.885911964</v>
      </c>
      <c r="K20">
        <v>7488.5003924224302</v>
      </c>
      <c r="L20">
        <v>3603375.0476866299</v>
      </c>
      <c r="M20">
        <f t="shared" si="0"/>
        <v>14.583316600649677</v>
      </c>
      <c r="N20">
        <v>12.758504326708511</v>
      </c>
      <c r="O20">
        <f t="shared" si="1"/>
        <v>13.938413747676806</v>
      </c>
      <c r="P20">
        <f t="shared" si="2"/>
        <v>-11.519611919843324</v>
      </c>
      <c r="Q20">
        <v>15.097381477481559</v>
      </c>
    </row>
    <row r="21" spans="1:17" x14ac:dyDescent="0.3">
      <c r="A21" s="1"/>
      <c r="B21" t="s">
        <v>8</v>
      </c>
      <c r="C21">
        <v>2087913.79840419</v>
      </c>
      <c r="D21">
        <v>343853.716847284</v>
      </c>
      <c r="E21">
        <v>1180370.88496302</v>
      </c>
      <c r="F21">
        <v>28235.018318097402</v>
      </c>
      <c r="G21">
        <v>39279.138768580902</v>
      </c>
      <c r="H21">
        <v>698611.10121495905</v>
      </c>
      <c r="I21">
        <v>798309.31340429198</v>
      </c>
      <c r="J21">
        <v>-99698.212189332931</v>
      </c>
      <c r="K21">
        <v>246724.29706888899</v>
      </c>
      <c r="L21">
        <v>3826678.6421807199</v>
      </c>
      <c r="M21">
        <f t="shared" si="0"/>
        <v>14.551675942843266</v>
      </c>
      <c r="N21">
        <v>12.747971604191623</v>
      </c>
      <c r="O21">
        <f t="shared" si="1"/>
        <v>13.981339256347725</v>
      </c>
      <c r="P21">
        <f t="shared" si="2"/>
        <v>-11.509903023886773</v>
      </c>
      <c r="Q21">
        <v>15.157507789672422</v>
      </c>
    </row>
  </sheetData>
  <mergeCells count="5">
    <mergeCell ref="A10:A13"/>
    <mergeCell ref="A14:A17"/>
    <mergeCell ref="A18:A21"/>
    <mergeCell ref="A2:A5"/>
    <mergeCell ref="A6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post_covid</vt:lpstr>
      <vt:lpstr>pre_covid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Sensharma</dc:creator>
  <cp:lastModifiedBy>Ayushi Sensharma</cp:lastModifiedBy>
  <dcterms:created xsi:type="dcterms:W3CDTF">2025-10-31T19:18:25Z</dcterms:created>
  <dcterms:modified xsi:type="dcterms:W3CDTF">2026-09-25T17:22:25Z</dcterms:modified>
</cp:coreProperties>
</file>